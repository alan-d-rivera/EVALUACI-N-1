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r\OneDrive\Documentos\Escritorio\"/>
    </mc:Choice>
  </mc:AlternateContent>
  <xr:revisionPtr revIDLastSave="0" documentId="8_{CFC57336-DF83-468D-85E4-115D581A1530}" xr6:coauthVersionLast="47" xr6:coauthVersionMax="47" xr10:uidLastSave="{00000000-0000-0000-0000-000000000000}"/>
  <bookViews>
    <workbookView xWindow="28680" yWindow="-120" windowWidth="29040" windowHeight="15720" xr2:uid="{0D9DEEC7-A416-4063-B8E9-3285D5056BBC}"/>
  </bookViews>
  <sheets>
    <sheet name="Datos calcul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K8" i="1" s="1"/>
  <c r="J9" i="1"/>
  <c r="J10" i="1"/>
  <c r="J11" i="1"/>
  <c r="K11" i="1" s="1"/>
  <c r="J12" i="1"/>
  <c r="K12" i="1" s="1"/>
  <c r="J4" i="1"/>
  <c r="K4" i="1" s="1"/>
  <c r="K9" i="1"/>
  <c r="K10" i="1"/>
  <c r="K5" i="1"/>
  <c r="K6" i="1"/>
  <c r="K7" i="1"/>
  <c r="C15" i="1"/>
  <c r="D8" i="1"/>
  <c r="C12" i="1"/>
</calcChain>
</file>

<file path=xl/sharedStrings.xml><?xml version="1.0" encoding="utf-8"?>
<sst xmlns="http://schemas.openxmlformats.org/spreadsheetml/2006/main" count="35" uniqueCount="32">
  <si>
    <t>Luz (L)</t>
  </si>
  <si>
    <t>Ancho (b)</t>
  </si>
  <si>
    <t>Alto (h)</t>
  </si>
  <si>
    <t>Modulo de Elasticidad (E)</t>
  </si>
  <si>
    <t>m</t>
  </si>
  <si>
    <t>Gpa</t>
  </si>
  <si>
    <t>Convercioon de GPA a kN/m^2</t>
  </si>
  <si>
    <t>kN/m^2</t>
  </si>
  <si>
    <t>Unidad</t>
  </si>
  <si>
    <t>Dato</t>
  </si>
  <si>
    <t>Total</t>
  </si>
  <si>
    <t xml:space="preserve">Calculo del Segundo Momento de Área (I) </t>
  </si>
  <si>
    <t>I</t>
  </si>
  <si>
    <t>m^4</t>
  </si>
  <si>
    <r>
      <t>Calculo de Deflexion Teorica (</t>
    </r>
    <r>
      <rPr>
        <sz val="11"/>
        <color theme="1"/>
        <rFont val="Calibri"/>
        <family val="2"/>
      </rPr>
      <t>δteo)</t>
    </r>
  </si>
  <si>
    <t>δteo</t>
  </si>
  <si>
    <t>mm</t>
  </si>
  <si>
    <t>* P</t>
  </si>
  <si>
    <t xml:space="preserve">* P esel modulo de  la carga aplicada * </t>
  </si>
  <si>
    <t>Carga P [kN]</t>
  </si>
  <si>
    <t>Deflexion Medida [mm]</t>
  </si>
  <si>
    <t>Deflexion Teorica [mm]</t>
  </si>
  <si>
    <t>Error Relativo [%]</t>
  </si>
  <si>
    <t>Razon delta/P [mm/kN]</t>
  </si>
  <si>
    <t>-</t>
  </si>
  <si>
    <t>0.0520</t>
  </si>
  <si>
    <t>0.0500</t>
  </si>
  <si>
    <t>0.0507</t>
  </si>
  <si>
    <t>0.0505</t>
  </si>
  <si>
    <t>0.0512</t>
  </si>
  <si>
    <t>0.0513</t>
  </si>
  <si>
    <t>0.0506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</si>
</sst>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2" fillId="0" borderId="4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2" fontId="3" fillId="0" borderId="4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Curva Carga vs. Deflexion en el Centro de la Viga</a:t>
            </a:r>
          </a:p>
        </c:rich>
      </c:tx>
      <c:layout>
        <c:manualLayout>
          <c:xMode val="edge"/>
          <c:yMode val="edge"/>
          <c:x val="0.16333483095954113"/>
          <c:y val="2.7952480782669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Deflexion Medida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'Datos calculados'!$H$4:$H$12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'Datos calculados'!$I$4:$I$12</c:f>
              <c:numCache>
                <c:formatCode>General</c:formatCode>
                <c:ptCount val="9"/>
                <c:pt idx="0">
                  <c:v>0</c:v>
                </c:pt>
                <c:pt idx="1">
                  <c:v>0.26</c:v>
                </c:pt>
                <c:pt idx="2">
                  <c:v>0.5</c:v>
                </c:pt>
                <c:pt idx="3">
                  <c:v>0.76</c:v>
                </c:pt>
                <c:pt idx="4">
                  <c:v>1.01</c:v>
                </c:pt>
                <c:pt idx="5">
                  <c:v>1.28</c:v>
                </c:pt>
                <c:pt idx="6">
                  <c:v>1.54</c:v>
                </c:pt>
                <c:pt idx="7">
                  <c:v>1.77</c:v>
                </c:pt>
                <c:pt idx="8">
                  <c:v>2.0499999999999998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D4-470E-8349-430523DB094A}"/>
            </c:ext>
          </c:extLst>
        </c:ser>
        <c:ser>
          <c:idx val="2"/>
          <c:order val="1"/>
          <c:tx>
            <c:v>Prediccion Teoria de Euler-Bernoulli</c:v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diamond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'Datos calculados'!$H$4:$H$12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'Datos calculados'!$J$4:$J$12</c:f>
              <c:numCache>
                <c:formatCode>0.00</c:formatCode>
                <c:ptCount val="9"/>
                <c:pt idx="0">
                  <c:v>0</c:v>
                </c:pt>
                <c:pt idx="1">
                  <c:v>0.24999999999999994</c:v>
                </c:pt>
                <c:pt idx="2">
                  <c:v>0.49999999999999989</c:v>
                </c:pt>
                <c:pt idx="3">
                  <c:v>0.74999999999999978</c:v>
                </c:pt>
                <c:pt idx="4">
                  <c:v>0.99999999999999978</c:v>
                </c:pt>
                <c:pt idx="5">
                  <c:v>1.2499999999999998</c:v>
                </c:pt>
                <c:pt idx="6">
                  <c:v>1.4999999999999996</c:v>
                </c:pt>
                <c:pt idx="7">
                  <c:v>1.7499999999999996</c:v>
                </c:pt>
                <c:pt idx="8">
                  <c:v>1.9999999999999996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3D4-470E-8349-430523DB0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218608"/>
        <c:axId val="1541946736"/>
      </c:scatterChart>
      <c:valAx>
        <c:axId val="1467218608"/>
        <c:scaling>
          <c:orientation val="minMax"/>
          <c:max val="4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Carga Aplicada P [kN]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41946736"/>
        <c:crossesAt val="0"/>
        <c:crossBetween val="midCat"/>
      </c:valAx>
      <c:valAx>
        <c:axId val="154194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Deflexion </a:t>
                </a:r>
                <a:r>
                  <a:rPr lang="el-G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es-CL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 [mm]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;\-0.0;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67218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366355</xdr:colOff>
      <xdr:row>15</xdr:row>
      <xdr:rowOff>41791</xdr:rowOff>
    </xdr:from>
    <xdr:to>
      <xdr:col>10</xdr:col>
      <xdr:colOff>106323</xdr:colOff>
      <xdr:row>30</xdr:row>
      <xdr:rowOff>88939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A1DCFA-E01E-4DE4-AAEC-AF75FD714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F3A8-C086-41D4-B50D-298BBA391DC4}">
  <dimension ref="B2:L16"/>
  <sheetViews>
    <sheetView tabSelected="1" topLeftCell="A10" zoomScale="160" zoomScaleNormal="160" workbookViewId="0">
      <selection activeCell="K25" sqref="K25"/>
    </sheetView>
  </sheetViews>
  <sheetFormatPr baseColWidth="10" defaultRowHeight="14.4" x14ac:dyDescent="0.3"/>
  <cols>
    <col min="2" max="2" width="15.88671875" customWidth="1"/>
    <col min="3" max="3" width="10.21875" customWidth="1"/>
    <col min="4" max="4" width="6.44140625" customWidth="1"/>
    <col min="5" max="5" width="7.88671875" customWidth="1"/>
    <col min="8" max="12" width="15.77734375" customWidth="1"/>
  </cols>
  <sheetData>
    <row r="2" spans="2:12" ht="15" thickBot="1" x14ac:dyDescent="0.35"/>
    <row r="3" spans="2:12" ht="42" thickBot="1" x14ac:dyDescent="0.35">
      <c r="B3" s="1" t="s">
        <v>9</v>
      </c>
      <c r="C3" s="1"/>
      <c r="D3" s="2" t="s">
        <v>10</v>
      </c>
      <c r="E3" s="2" t="s">
        <v>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23</v>
      </c>
    </row>
    <row r="4" spans="2:12" ht="15" thickBot="1" x14ac:dyDescent="0.35">
      <c r="B4" s="1" t="s">
        <v>0</v>
      </c>
      <c r="C4" s="1"/>
      <c r="D4" s="2">
        <v>4</v>
      </c>
      <c r="E4" s="2" t="s">
        <v>4</v>
      </c>
      <c r="H4" s="9">
        <v>0</v>
      </c>
      <c r="I4" s="9">
        <v>0</v>
      </c>
      <c r="J4" s="10">
        <f>$C$15*H4</f>
        <v>0</v>
      </c>
      <c r="K4" s="10" t="e">
        <f>((ABS(I4-J4))/J4)*100</f>
        <v>#DIV/0!</v>
      </c>
      <c r="L4" s="9" t="s">
        <v>24</v>
      </c>
    </row>
    <row r="5" spans="2:12" ht="15" thickBot="1" x14ac:dyDescent="0.35">
      <c r="B5" s="1" t="s">
        <v>1</v>
      </c>
      <c r="C5" s="1"/>
      <c r="D5" s="2">
        <v>0.2</v>
      </c>
      <c r="E5" s="2" t="s">
        <v>4</v>
      </c>
      <c r="H5" s="9">
        <v>5</v>
      </c>
      <c r="I5" s="9">
        <v>0.26</v>
      </c>
      <c r="J5" s="10">
        <f t="shared" ref="J5:J12" si="0">$C$15*H5</f>
        <v>0.24999999999999994</v>
      </c>
      <c r="K5" s="10">
        <f t="shared" ref="K5:K12" si="1">((ABS(I5-J5))/J5)*100</f>
        <v>4.0000000000000266</v>
      </c>
      <c r="L5" s="9" t="s">
        <v>25</v>
      </c>
    </row>
    <row r="6" spans="2:12" ht="15" thickBot="1" x14ac:dyDescent="0.35">
      <c r="B6" s="1" t="s">
        <v>2</v>
      </c>
      <c r="C6" s="1"/>
      <c r="D6" s="2">
        <v>0.4</v>
      </c>
      <c r="E6" s="2" t="s">
        <v>4</v>
      </c>
      <c r="H6" s="9">
        <v>10</v>
      </c>
      <c r="I6" s="9">
        <v>0.5</v>
      </c>
      <c r="J6" s="10">
        <f t="shared" si="0"/>
        <v>0.49999999999999989</v>
      </c>
      <c r="K6" s="10">
        <f t="shared" si="1"/>
        <v>2.2204460492503137E-14</v>
      </c>
      <c r="L6" s="9" t="s">
        <v>26</v>
      </c>
    </row>
    <row r="7" spans="2:12" ht="15" thickBot="1" x14ac:dyDescent="0.35">
      <c r="B7" s="1" t="s">
        <v>3</v>
      </c>
      <c r="C7" s="1"/>
      <c r="D7" s="2">
        <v>25</v>
      </c>
      <c r="E7" s="2" t="s">
        <v>5</v>
      </c>
      <c r="H7" s="9">
        <v>15</v>
      </c>
      <c r="I7" s="9">
        <v>0.76</v>
      </c>
      <c r="J7" s="10">
        <f t="shared" si="0"/>
        <v>0.74999999999999978</v>
      </c>
      <c r="K7" s="10">
        <f t="shared" si="1"/>
        <v>1.3333333333333646</v>
      </c>
      <c r="L7" s="9" t="s">
        <v>27</v>
      </c>
    </row>
    <row r="8" spans="2:12" ht="15" thickBot="1" x14ac:dyDescent="0.35">
      <c r="B8" s="1" t="s">
        <v>6</v>
      </c>
      <c r="C8" s="1"/>
      <c r="D8" s="2">
        <f>D7*(10^6)</f>
        <v>25000000</v>
      </c>
      <c r="E8" s="2" t="s">
        <v>7</v>
      </c>
      <c r="H8" s="9">
        <v>20</v>
      </c>
      <c r="I8" s="9">
        <v>1.01</v>
      </c>
      <c r="J8" s="10">
        <f t="shared" si="0"/>
        <v>0.99999999999999978</v>
      </c>
      <c r="K8" s="10">
        <f t="shared" si="1"/>
        <v>1.0000000000000233</v>
      </c>
      <c r="L8" s="9" t="s">
        <v>28</v>
      </c>
    </row>
    <row r="9" spans="2:12" ht="15" thickBot="1" x14ac:dyDescent="0.35">
      <c r="H9" s="9">
        <v>25</v>
      </c>
      <c r="I9" s="9">
        <v>1.28</v>
      </c>
      <c r="J9" s="10">
        <f t="shared" si="0"/>
        <v>1.2499999999999998</v>
      </c>
      <c r="K9" s="10">
        <f t="shared" si="1"/>
        <v>2.4000000000000203</v>
      </c>
      <c r="L9" s="9" t="s">
        <v>29</v>
      </c>
    </row>
    <row r="10" spans="2:12" ht="15" thickBot="1" x14ac:dyDescent="0.35">
      <c r="H10" s="9">
        <v>30</v>
      </c>
      <c r="I10" s="9">
        <v>1.54</v>
      </c>
      <c r="J10" s="10">
        <f t="shared" si="0"/>
        <v>1.4999999999999996</v>
      </c>
      <c r="K10" s="10">
        <f t="shared" si="1"/>
        <v>2.6666666666666994</v>
      </c>
      <c r="L10" s="9" t="s">
        <v>30</v>
      </c>
    </row>
    <row r="11" spans="2:12" ht="15" thickBot="1" x14ac:dyDescent="0.35">
      <c r="B11" s="1" t="s">
        <v>11</v>
      </c>
      <c r="C11" s="1"/>
      <c r="D11" s="1"/>
      <c r="E11" s="1"/>
      <c r="H11" s="9">
        <v>35</v>
      </c>
      <c r="I11" s="9">
        <v>1.77</v>
      </c>
      <c r="J11" s="10">
        <f t="shared" si="0"/>
        <v>1.7499999999999996</v>
      </c>
      <c r="K11" s="10">
        <f t="shared" si="1"/>
        <v>1.1428571428571697</v>
      </c>
      <c r="L11" s="9" t="s">
        <v>31</v>
      </c>
    </row>
    <row r="12" spans="2:12" ht="15" thickBot="1" x14ac:dyDescent="0.35">
      <c r="B12" s="3" t="s">
        <v>12</v>
      </c>
      <c r="C12" s="3">
        <f>(D5*D6^3)/12</f>
        <v>1.0666666666666669E-3</v>
      </c>
      <c r="D12" s="4" t="s">
        <v>13</v>
      </c>
      <c r="E12" s="4"/>
      <c r="H12" s="9">
        <v>40</v>
      </c>
      <c r="I12" s="9">
        <v>2.0499999999999998</v>
      </c>
      <c r="J12" s="10">
        <f t="shared" si="0"/>
        <v>1.9999999999999996</v>
      </c>
      <c r="K12" s="10">
        <f t="shared" si="1"/>
        <v>2.5000000000000142</v>
      </c>
      <c r="L12" s="9" t="s">
        <v>30</v>
      </c>
    </row>
    <row r="14" spans="2:12" x14ac:dyDescent="0.3">
      <c r="B14" s="1" t="s">
        <v>14</v>
      </c>
      <c r="C14" s="1"/>
      <c r="D14" s="1"/>
      <c r="E14" s="1"/>
    </row>
    <row r="15" spans="2:12" x14ac:dyDescent="0.3">
      <c r="B15" s="3" t="s">
        <v>15</v>
      </c>
      <c r="C15" s="7">
        <f>((D4^3)/(48*D8*C12))*1000</f>
        <v>4.9999999999999989E-2</v>
      </c>
      <c r="D15" s="6" t="s">
        <v>17</v>
      </c>
      <c r="E15" s="5" t="s">
        <v>16</v>
      </c>
    </row>
    <row r="16" spans="2:12" x14ac:dyDescent="0.3">
      <c r="B16" t="s">
        <v>18</v>
      </c>
    </row>
  </sheetData>
  <mergeCells count="9">
    <mergeCell ref="B11:E11"/>
    <mergeCell ref="D12:E12"/>
    <mergeCell ref="B14:E14"/>
    <mergeCell ref="B4:C4"/>
    <mergeCell ref="B5:C5"/>
    <mergeCell ref="B6:C6"/>
    <mergeCell ref="B7:C7"/>
    <mergeCell ref="B8:C8"/>
    <mergeCell ref="B3:C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calculados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Rivera Cortes</dc:creator>
  <cp:lastModifiedBy>Alan Rivera Cortes</cp:lastModifiedBy>
  <dcterms:created xsi:type="dcterms:W3CDTF">2026-10-05T22:57:37Z</dcterms:created>
  <dcterms:modified xsi:type="dcterms:W3CDTF">2026-10-06T00:21:39Z</dcterms:modified>
</cp:coreProperties>
</file>